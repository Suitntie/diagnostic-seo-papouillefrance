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ésumé" sheetId="1" state="visible" r:id="rId3"/>
    <sheet name="Bugs" sheetId="2" state="visible" r:id="rId4"/>
    <sheet name="Améliorations" sheetId="3" state="visible" r:id="rId5"/>
  </sheets>
  <definedNames>
    <definedName function="false" hidden="true" localSheetId="2" name="_xlnm._FilterDatabase" vbProcedure="false">Améliorations!$A$4:$G$12</definedName>
    <definedName function="false" hidden="true" localSheetId="1" name="_xlnm._FilterDatabase" vbProcedure="false">Bugs!$A$4:$H$13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<sst xmlns="http://schemas.openxmlformats.org/spreadsheetml/2006/main" count="151" uniqueCount="110">
  <si>
    <t xml:space="preserve">Résumé pour BLGCLOUD</t>
  </si>
  <si>
    <t xml:space="preserve">Client : Papouille France — Site : papouillefrance.com — Date : 08/04/2026</t>
  </si>
  <si>
    <t xml:space="preserve">Contexte</t>
  </si>
  <si>
    <t xml:space="preserve">Suite à un audit complet du tracking web (GTM, GA4, CookieScript CMP) réalisé les 7-8 avril 2026, nous avons identifié et corrigé de nombreux problèmes côté GTM et GA4. Cependant, certains bugs et améliorations nécessitent une intervention côté site (dataLayer BLGCLOUD). Ce document liste les éléments à corriger ou améliorer, classés par priorité.</t>
  </si>
  <si>
    <t xml:space="preserve">Statistiques</t>
  </si>
  <si>
    <t xml:space="preserve">Bugs</t>
  </si>
  <si>
    <t xml:space="preserve">Améliorations</t>
  </si>
  <si>
    <t xml:space="preserve">Total</t>
  </si>
  <si>
    <t xml:space="preserve">🔴 Critique</t>
  </si>
  <si>
    <t xml:space="preserve">🟠 Haute</t>
  </si>
  <si>
    <t xml:space="preserve">🟡 Moyenne</t>
  </si>
  <si>
    <t xml:space="preserve">🔵 Basse</t>
  </si>
  <si>
    <t xml:space="preserve">Ce qui a déjà été corrigé côté GTM (aucune action requise)</t>
  </si>
  <si>
    <t xml:space="preserve">  ✅  Migration e-commerce UA → GA4 : 7 tags GTM de transformation créés (V710 + V712)</t>
  </si>
  <si>
    <t xml:space="preserve">  ✅  Correction du Consent Mode : url_passthrough activé, Facebook Pixel → ad_storage, GAds → ad_storage</t>
  </si>
  <si>
    <t xml:space="preserve">  ✅  CookieScript CMP : Auto-Detect activé, cookies Poptin classifiés, scan lancé (44 cookies, 0 non classifié)</t>
  </si>
  <si>
    <t xml:space="preserve">  ✅  Nettoyage conteneur GTM : 36 éléments orphelins supprimés (V711)</t>
  </si>
  <si>
    <t xml:space="preserve">  ✅  GA4 : 5 événements clés marqués (purchase, add_to_cart, begin_checkout, créer_un_compte, form_submit)</t>
  </si>
  <si>
    <t xml:space="preserve">  ✅  GA4 : 6 audiences de remarketing créées</t>
  </si>
  <si>
    <t xml:space="preserve">  ✅  Dimension inutile "Devis" supprimée dans GA4</t>
  </si>
  <si>
    <t xml:space="preserve">BLGCLOUD — Bugs &amp; Corrections à apporter sur papouillefrance.com</t>
  </si>
  <si>
    <t xml:space="preserve">Issu de l'audit GTM / GA4 / CookieScript — Papouille France — 08/04/2026</t>
  </si>
  <si>
    <t xml:space="preserve">#</t>
  </si>
  <si>
    <t xml:space="preserve">Priorité</t>
  </si>
  <si>
    <t xml:space="preserve">Composant</t>
  </si>
  <si>
    <t xml:space="preserve">Bug / Problème</t>
  </si>
  <si>
    <t xml:space="preserve">Comportement actuel</t>
  </si>
  <si>
    <t xml:space="preserve">Comportement attendu</t>
  </si>
  <si>
    <t xml:space="preserve">Impact</t>
  </si>
  <si>
    <t xml:space="preserve">Statut</t>
  </si>
  <si>
    <t xml:space="preserve">🔴 CRITIQUE</t>
  </si>
  <si>
    <t xml:space="preserve">DataLayer e-commerce</t>
  </si>
  <si>
    <t xml:space="preserve">removeFromCart : données produit nulles sur la page /cart</t>
  </si>
  <si>
    <t xml:space="preserve">Quand un utilisateur supprime un produit depuis la page /cart, l'événement removeFromCart est pushé dans le dataLayer mais TOUTES les données produit sont null :
• name: null
• id: null
• price: null
• category: null
• brand: null</t>
  </si>
  <si>
    <t xml:space="preserve">L'événement removeFromCart depuis /cart doit contenir les données complètes du produit supprimé :
• name: "Nom du produit"
• id: "REF123"
• price: 25.90
• category: "Catégorie"
• brand: "Marque"</t>
  </si>
  <si>
    <t xml:space="preserve">Le tag GA4 remove_from_cart ne peut pas remonter les données produit lors d'une suppression depuis le panier. Perte de données analytics sur les abandons.</t>
  </si>
  <si>
    <t xml:space="preserve">À corriger</t>
  </si>
  <si>
    <t xml:space="preserve">removeFromCart : price toujours à 0 sur les fiches produit</t>
  </si>
  <si>
    <t xml:space="preserve">Quand un utilisateur supprime un produit depuis une fiche produit (/articles/...), le removeFromCart contient les données produit (name, id, brand, category) MAIS le price est systématiquement à 0.
Exemple : price: "0" pour un produit affiché à 14,50€.</t>
  </si>
  <si>
    <t xml:space="preserve">Le champ price doit contenir le prix réel HT du produit.
Exemple : price: "14.50"</t>
  </si>
  <si>
    <t xml:space="preserve">La valeur (value) de l'événement remove_from_cart dans GA4 est toujours à 0€. Impossible de mesurer la valeur des produits retirés du panier.</t>
  </si>
  <si>
    <t xml:space="preserve">🟠 HAUTE</t>
  </si>
  <si>
    <t xml:space="preserve">"Frais de port" inclus comme produit dans checkout et purchase</t>
  </si>
  <si>
    <t xml:space="preserve">Dans les tableaux ecommerce.checkout.products[] et ecommerce.purchase.products[], les "Frais de port" sont inclus comme un produit avec id: null, category: "Frais de port".
Exemple : {name: "Frais de port standard", id: null, price: "6.58", brand: null, category: "Frais de port", quantity: 1}</t>
  </si>
  <si>
    <t xml:space="preserve">Les frais de port ne devraient pas être dans le tableau products[]. Ils sont déjà correctement dans actionField.shipping.
Ou à défaut, leur donner un id spécifique (ex: "SHIPPING") au lieu de null.</t>
  </si>
  <si>
    <t xml:space="preserve">Contourné côté GTM par un filtre (id !== null), mais idéalement à corriger côté site pour une donnée propre.</t>
  </si>
  <si>
    <t xml:space="preserve">Contourné GTM</t>
  </si>
  <si>
    <t xml:space="preserve">currencyCode absent de la plupart des événements e-commerce</t>
  </si>
  <si>
    <t xml:space="preserve">Le champ ecommerce.currencyCode ("EUR") est uniquement présent dans l'événement addToCart.
Il est absent de : productImpressions, productDetailsViews, checkout, purchase.</t>
  </si>
  <si>
    <t xml:space="preserve">ecommerce.currencyCode: "EUR" devrait être présent dans TOUS les événements e-commerce, conformément à la spec Enhanced Ecommerce de Google.</t>
  </si>
  <si>
    <t xml:space="preserve">Contourné côté GTM avec une constante "EUR", mais non conforme aux bonnes pratiques. Risque si le site devient multi-devises.</t>
  </si>
  <si>
    <t xml:space="preserve">🟡 MOYENNE</t>
  </si>
  <si>
    <t xml:space="preserve">Format dataLayer UA Enhanced Ecommerce obsolète</t>
  </si>
  <si>
    <t xml:space="preserve">Le dataLayer utilise le format Universal Analytics Enhanced Ecommerce (ecommerce.impressions[], ecommerce.detail.products[], ecommerce.add.products[], etc.).
Ce format n'est plus interprété nativement par GA4.</t>
  </si>
  <si>
    <t xml:space="preserve">Migrer vers le format GA4 natif : events view_item_list, view_item, add_to_cart, begin_checkout, add_shipping_info, add_payment_info, purchase avec le schéma items[] GA4.</t>
  </si>
  <si>
    <t xml:space="preserve">Actuellement contourné par 7 tags GTM de transformation (V710 + V712). Fonctionne mais ajoute de la complexité et de la latence. La migration native est recommandée à moyen terme.</t>
  </si>
  <si>
    <t xml:space="preserve">DataLayer</t>
  </si>
  <si>
    <t xml:space="preserve">Aucun événement view_cart sur la page /cart</t>
  </si>
  <si>
    <t xml:space="preserve">La page /cart (panier) ne push aucun événement e-commerce dans le dataLayer. Seul un événement "datalayer-loaded" avec pageType: "cart" est envoyé, sans données produit.</t>
  </si>
  <si>
    <t xml:space="preserve">Un événement view_cart (GA4) ou équivalent devrait être pushé avec la liste des produits dans le panier, la valeur totale, et la devise.</t>
  </si>
  <si>
    <t xml:space="preserve">Impossible de tracker les vues panier dans GA4. Trou dans le funnel entre add_to_cart et begin_checkout.</t>
  </si>
  <si>
    <t xml:space="preserve">À développer</t>
  </si>
  <si>
    <t xml:space="preserve">🔵 BASSE</t>
  </si>
  <si>
    <t xml:space="preserve">Pas d'événement productClick / select_item</t>
  </si>
  <si>
    <t xml:space="preserve">Quand un utilisateur clique sur un produit dans une liste (catégorie, recherche, accueil), aucun événement productClick n'est pushé dans le dataLayer.</t>
  </si>
  <si>
    <t xml:space="preserve">Un événement productClick (UA) ou select_item (GA4) devrait être pushé au clic sur un produit dans une liste, avec les données du produit cliqué et le nom de la liste source.</t>
  </si>
  <si>
    <t xml:space="preserve">Perte de données sur le parcours de sélection produit. Impact mineur — événement optionnel.</t>
  </si>
  <si>
    <t xml:space="preserve">Optionnel</t>
  </si>
  <si>
    <t xml:space="preserve">Pas d'événement add_payment_info au checkout</t>
  </si>
  <si>
    <t xml:space="preserve">L'étape de paiement du checkout ne push pas d'événement spécifique pour le choix du mode de paiement. L'événement "checkout" avec step="payment" est utilisé pour add_shipping_info dans le mapping actuel.</t>
  </si>
  <si>
    <t xml:space="preserve">Ajouter un événement dédié au choix du mode de paiement (après sélection CB, virement, etc.) pour alimenter l'événement GA4 add_payment_info.</t>
  </si>
  <si>
    <t xml:space="preserve">Événement GA4 recommandé manquant. Impact mineur sur le reporting funnel.</t>
  </si>
  <si>
    <t xml:space="preserve">Pas d'événement refund</t>
  </si>
  <si>
    <t xml:space="preserve">Aucun événement refund n'est pushé dans le dataLayer lors d'un remboursement.</t>
  </si>
  <si>
    <t xml:space="preserve">Lors d'un remboursement (total ou partiel), un événement refund devrait être envoyé avec transaction_id et les items remboursés.</t>
  </si>
  <si>
    <t xml:space="preserve">Les remboursements ne sont pas trackés dans GA4. Le CA affiché peut être surévalué. Peut être implémenté côté serveur (Measurement Protocol) si pas de page côté front.</t>
  </si>
  <si>
    <t xml:space="preserve">BLGCLOUD — Améliorations &amp; Évolutions recommandées</t>
  </si>
  <si>
    <t xml:space="preserve">Recommandations issues de l'audit — 08/04/2026</t>
  </si>
  <si>
    <t xml:space="preserve">Amélioration</t>
  </si>
  <si>
    <t xml:space="preserve">Description détaillée</t>
  </si>
  <si>
    <t xml:space="preserve">Bénéfice attendu</t>
  </si>
  <si>
    <t xml:space="preserve">Effort estimé</t>
  </si>
  <si>
    <t xml:space="preserve">Migration du dataLayer vers le format GA4 natif</t>
  </si>
  <si>
    <t xml:space="preserve">Remplacer le format Universal Analytics Enhanced Ecommerce par le format GA4 natif dans le dataLayer.
Au lieu de :
  event: "addToCart", ecommerce: {add: {products: [...]}}
Pusher :
  event: "add_to_cart", ecommerce: {items: [{item_id, item_name, price, ...}]}
Concerne les 7 événements : view_item_list, view_item, add_to_cart, remove_from_cart, begin_checkout, add_shipping_info, purchase.</t>
  </si>
  <si>
    <t xml:space="preserve">Suppression des 7 tags GTM de transformation, simplification du conteneur GTM, meilleure performance (moins de JavaScript exécuté), conformité totale avec la documentation GA4.</t>
  </si>
  <si>
    <t xml:space="preserve">Élevé</t>
  </si>
  <si>
    <t xml:space="preserve">Ajouter l'événement view_cart sur la page /cart</t>
  </si>
  <si>
    <t xml:space="preserve">Quand la page /cart se charge, pusher un événement dans le dataLayer avec :
• event: "view_cart" (ou equivalent UA)
• items[]: liste des produits dans le panier
• value: valeur totale du panier
• currency: "EUR"</t>
  </si>
  <si>
    <t xml:space="preserve">Comble le trou dans le funnel e-commerce entre add_to_cart et begin_checkout. Permet de mesurer le taux d'abandon panier précis et d'alimenter l'audience "abandonneurs de panier" GA4.</t>
  </si>
  <si>
    <t xml:space="preserve">Moyen</t>
  </si>
  <si>
    <t xml:space="preserve">Ajouter le currencyCode à tous les événements e-commerce</t>
  </si>
  <si>
    <t xml:space="preserve">Actuellement ecommerce.currencyCode: "EUR" n'est présent que dans addToCart. L'ajouter systématiquement à :
• productImpressions
• productDetailsViews
• checkout (les 2 étapes)
• purchase</t>
  </si>
  <si>
    <t xml:space="preserve">Conformité complète avec la spec Google Enhanced Ecommerce. Prépare le site pour un éventuel passage multi-devises.</t>
  </si>
  <si>
    <t xml:space="preserve">Faible</t>
  </si>
  <si>
    <t xml:space="preserve">Ajouter l'événement select_item (productClick)</t>
  </si>
  <si>
    <t xml:space="preserve">Au clic sur un produit dans une liste (catégorie, recherche, accueil, cross-sell), pusher un événement :
• event: "productClick" (ou "select_item" en GA4 natif)
• ecommerce.click.products[]: données du produit cliqué
• ecommerce.click.actionField.list: nom de la liste source</t>
  </si>
  <si>
    <t xml:space="preserve">Permet d'analyser quels produits sont cliqués dans quelle liste, et de mesurer le taux de clic par position. Utile pour optimiser le merchandising.</t>
  </si>
  <si>
    <t xml:space="preserve">Ajouter l'événement add_payment_info</t>
  </si>
  <si>
    <t xml:space="preserve">Lors de la sélection du mode de paiement au checkout, pusher un événement :
• event: "add_payment_info" (GA4 natif)
• payment_type: "credit_card" / "bank_transfer" / etc.
• items[]: produits du panier
• value, currency</t>
  </si>
  <si>
    <t xml:space="preserve">Événement GA4 recommandé pour le funnel. Permet de mesurer le taux de conversion par mode de paiement et d'identifier d'éventuels freins.</t>
  </si>
  <si>
    <t xml:space="preserve">DataLayer / Back-office</t>
  </si>
  <si>
    <t xml:space="preserve">Implémenter l'événement refund</t>
  </si>
  <si>
    <t xml:space="preserve">Lors d'un remboursement (total ou partiel), envoyer un événement refund :
• Soit côté front si une page de confirmation remboursement existe
• Soit côté serveur via le Measurement Protocol GA4
• transaction_id: ID de la commande
• items[]: produits remboursés (si partiel)
• value: montant remboursé</t>
  </si>
  <si>
    <t xml:space="preserve">Le CA dans GA4 reflétera la réalité après remboursements. Actuellement le CA peut être surévalué. Nécessaire pour un reporting financier fiable.</t>
  </si>
  <si>
    <t xml:space="preserve">Ajouter user_id et user_email hashé à tous les événements post-login</t>
  </si>
  <si>
    <t xml:space="preserve">Actuellement user_id et user_email (SHA-256) ne sont envoyés qu'à l'étape checkout. Les ajouter au datalayer-loaded pour tous les utilisateurs connectés.</t>
  </si>
  <si>
    <t xml:space="preserve">Améliore le User-ID tracking GA4, le cross-device, et les Enhanced Conversions Google Ads sur l'ensemble du parcours (pas seulement au checkout).</t>
  </si>
  <si>
    <t xml:space="preserve">Enrichir les données produit avec item_list_name et item_list_id</t>
  </si>
  <si>
    <t xml:space="preserve">Dans les événements view_item et add_to_cart, ajouter le contexte de la liste d'origine :
• item_list_name: "Catégorie / Protection et Sécurité"
• item_list_id: "category_341"
Permet de savoir d'où vient le clic (catégorie, recherche, cross-sell, etc.)</t>
  </si>
  <si>
    <t xml:space="preserve">Rapports GA4 sur la performance des listes produits. Utile pour le merchandising et l'optimisation de la navigation.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</si>
</sst>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1A73E8"/>
      <name val="Arial"/>
      <family val="0"/>
      <charset val="1"/>
    </font>
    <font>
      <b val="true"/>
      <sz val="10"/>
      <color rgb="FF5F6368"/>
      <name val="Arial"/>
      <family val="0"/>
      <charset val="1"/>
    </font>
    <font>
      <b val="true"/>
      <sz val="12"/>
      <color rgb="FF1A73E8"/>
      <name val="Arial"/>
      <family val="0"/>
      <charset val="1"/>
    </font>
    <font>
      <sz val="10"/>
      <name val="Arial"/>
      <family val="0"/>
      <charset val="1"/>
    </font>
    <font>
      <b val="true"/>
      <sz val="11"/>
      <color rgb="FFFFFFFF"/>
      <name val="Arial"/>
      <family val="0"/>
      <charset val="1"/>
    </font>
    <font>
      <b val="true"/>
      <sz val="10"/>
      <name val="Arial"/>
      <family val="0"/>
      <charset val="1"/>
    </font>
    <font>
      <b val="true"/>
      <sz val="12"/>
      <color rgb="FF0D904F"/>
      <name val="Arial"/>
      <family val="0"/>
      <charset val="1"/>
    </font>
    <font>
      <sz val="10"/>
      <color rgb="FF0D904F"/>
      <name val="Arial"/>
      <family val="0"/>
      <charset val="1"/>
    </font>
    <font>
      <b val="true"/>
      <sz val="14"/>
      <color rgb="FF1A73E8"/>
      <name val="Arial"/>
      <family val="0"/>
      <charset val="1"/>
    </font>
  </fonts>
  <fills count="7">
    <fill>
      <patternFill patternType="none"/>
    </fill>
    <fill>
      <patternFill patternType="gray125"/>
    </fill>
    <fill>
      <patternFill patternType="solid">
        <fgColor rgb="FF1A73E8"/>
        <bgColor rgb="FF0066CC"/>
      </patternFill>
    </fill>
    <fill>
      <patternFill patternType="solid">
        <fgColor rgb="FFFDDEDE"/>
        <bgColor rgb="FFFEF3CD"/>
      </patternFill>
    </fill>
    <fill>
      <patternFill patternType="solid">
        <fgColor rgb="FFFEF3CD"/>
        <bgColor rgb="FFFDDEDE"/>
      </patternFill>
    </fill>
    <fill>
      <patternFill patternType="solid">
        <fgColor rgb="FFD4EDDA"/>
        <bgColor rgb="FFDADCE0"/>
      </patternFill>
    </fill>
    <fill>
      <patternFill patternType="solid">
        <fgColor rgb="FFE8F0FE"/>
        <bgColor rgb="FFD4EDDA"/>
      </patternFill>
    </fill>
  </fills>
  <borders count="2">
    <border diagonalUp="false" diagonalDown="false">
      <left/>
      <right/>
      <top/>
      <bottom/>
      <diagonal/>
    </border>
    <border diagonalUp="false" diagonalDown="false">
      <left style="thin">
        <color rgb="FFDADCE0"/>
      </left>
      <right style="thin">
        <color rgb="FFDADCE0"/>
      </right>
      <top style="thin">
        <color rgb="FFDADCE0"/>
      </top>
      <bottom style="thin">
        <color rgb="FFDADC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false" indent="0" shrinkToFit="false"/>
      <protection locked="true" hidden="false"/>
    </xf>
    <xf numFmtId="164" fontId="8" fillId="2" borderId="1" xfId="0" applyFont="true" applyBorder="true" applyAlignment="true" applyProtection="false">
      <alignment horizontal="center"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A73E8"/>
          <bgColor rgb="FF000000"/>
        </patternFill>
      </fill>
    </dxf>
    <dxf>
      <fill>
        <patternFill patternType="solid">
          <fgColor rgb="FFD4EDDA"/>
          <bgColor rgb="FF000000"/>
        </patternFill>
      </fill>
    </dxf>
    <dxf>
      <fill>
        <patternFill patternType="solid">
          <fgColor rgb="FFE8F0FE"/>
          <bgColor rgb="FF000000"/>
        </patternFill>
      </fill>
    </dxf>
    <dxf>
      <fill>
        <patternFill patternType="solid">
          <fgColor rgb="FFFDDEDE"/>
          <bgColor rgb="FF000000"/>
        </patternFill>
      </fill>
    </dxf>
    <dxf>
      <fill>
        <patternFill patternType="solid">
          <fgColor rgb="FFFEF3CD"/>
          <bgColor rgb="FF000000"/>
        </patternFill>
      </fill>
    </dxf>
    <dxf>
      <fill>
        <patternFill patternType="solid">
          <fgColor rgb="FFFFFFFF"/>
          <bgColor rgb="FF000000"/>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D904F"/>
      <rgbColor rgb="FFC0C0C0"/>
      <rgbColor rgb="FF808080"/>
      <rgbColor rgb="FF9999FF"/>
      <rgbColor rgb="FF993366"/>
      <rgbColor rgb="FFFEF3CD"/>
      <rgbColor rgb="FFE8F0FE"/>
      <rgbColor rgb="FF660066"/>
      <rgbColor rgb="FFFF8080"/>
      <rgbColor rgb="FF0066CC"/>
      <rgbColor rgb="FFDADCE0"/>
      <rgbColor rgb="FF000080"/>
      <rgbColor rgb="FFFF00FF"/>
      <rgbColor rgb="FFFFFF00"/>
      <rgbColor rgb="FF00FFFF"/>
      <rgbColor rgb="FF800080"/>
      <rgbColor rgb="FF800000"/>
      <rgbColor rgb="FF008080"/>
      <rgbColor rgb="FF0000FF"/>
      <rgbColor rgb="FF00CCFF"/>
      <rgbColor rgb="FFCCFFFF"/>
      <rgbColor rgb="FFD4EDDA"/>
      <rgbColor rgb="FFFFFF99"/>
      <rgbColor rgb="FF99CCFF"/>
      <rgbColor rgb="FFFF99CC"/>
      <rgbColor rgb="FFCC99FF"/>
      <rgbColor rgb="FFFDDEDE"/>
      <rgbColor rgb="FF1A73E8"/>
      <rgbColor rgb="FF33CCCC"/>
      <rgbColor rgb="FF99CC00"/>
      <rgbColor rgb="FFFFCC00"/>
      <rgbColor rgb="FFFF9900"/>
      <rgbColor rgb="FFFF6600"/>
      <rgbColor rgb="FF5F6368"/>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10"/>
    <col collapsed="false" customWidth="true" hidden="false" outlineLevel="0" max="5" min="5" style="0" width="30"/>
  </cols>
  <sheetData>
    <row r="1" customFormat="false" ht="39.75" hidden="false" customHeight="tru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c r="B4" s="3"/>
      <c r="C4" s="3"/>
      <c r="D4" s="3"/>
      <c r="E4" s="3"/>
    </row>
    <row r="5" customFormat="false" ht="60" hidden="false" customHeight="true" outlineLevel="0" collapsed="false">
      <c r="A5" s="4" t="s">
        <v>3</v>
      </c>
      <c r="B5" s="4"/>
      <c r="C5" s="4"/>
      <c r="D5" s="4"/>
      <c r="E5" s="4"/>
    </row>
    <row r="6" customFormat="false" ht="15" hidden="false" customHeight="false" outlineLevel="0" collapsed="false">
      <c r="A6" s="4"/>
      <c r="B6" s="4"/>
      <c r="C6" s="4"/>
      <c r="D6" s="4"/>
      <c r="E6" s="4"/>
    </row>
    <row r="7" customFormat="false" ht="15" hidden="false" customHeight="false" outlineLevel="0" collapsed="false">
      <c r="A7" s="4"/>
      <c r="B7" s="4"/>
      <c r="C7" s="4"/>
      <c r="D7" s="4"/>
      <c r="E7" s="4"/>
    </row>
    <row r="8" customFormat="false" ht="15" hidden="false" customHeight="false" outlineLevel="0" collapsed="false">
      <c r="A8" s="4"/>
      <c r="B8" s="4"/>
      <c r="C8" s="4"/>
      <c r="D8" s="4"/>
      <c r="E8" s="4"/>
    </row>
    <row r="10" customFormat="false" ht="15" hidden="false" customHeight="false" outlineLevel="0" collapsed="false">
      <c r="A10" s="5" t="s">
        <v>4</v>
      </c>
    </row>
    <row r="11" customFormat="false" ht="15" hidden="false" customHeight="false" outlineLevel="0" collapsed="false">
      <c r="A11" s="6"/>
      <c r="B11" s="6" t="s">
        <v>5</v>
      </c>
      <c r="C11" s="6" t="s">
        <v>6</v>
      </c>
      <c r="D11" s="6" t="s">
        <v>7</v>
      </c>
    </row>
    <row r="12" customFormat="false" ht="15" hidden="false" customHeight="false" outlineLevel="0" collapsed="false">
      <c r="A12" s="7" t="s">
        <v>8</v>
      </c>
      <c r="B12" s="7" t="n">
        <v>2</v>
      </c>
      <c r="C12" s="7" t="n">
        <v>0</v>
      </c>
      <c r="D12" s="7" t="n">
        <f aca="false">B12+C12</f>
        <v>2</v>
      </c>
    </row>
    <row r="13" customFormat="false" ht="15" hidden="false" customHeight="false" outlineLevel="0" collapsed="false">
      <c r="A13" s="7" t="s">
        <v>9</v>
      </c>
      <c r="B13" s="7" t="n">
        <v>2</v>
      </c>
      <c r="C13" s="7" t="n">
        <v>2</v>
      </c>
      <c r="D13" s="7" t="n">
        <f aca="false">B13+C13</f>
        <v>4</v>
      </c>
    </row>
    <row r="14" customFormat="false" ht="15" hidden="false" customHeight="false" outlineLevel="0" collapsed="false">
      <c r="A14" s="7" t="s">
        <v>10</v>
      </c>
      <c r="B14" s="7" t="n">
        <v>2</v>
      </c>
      <c r="C14" s="7" t="n">
        <v>3</v>
      </c>
      <c r="D14" s="7" t="n">
        <f aca="false">B14+C14</f>
        <v>5</v>
      </c>
    </row>
    <row r="15" customFormat="false" ht="15" hidden="false" customHeight="false" outlineLevel="0" collapsed="false">
      <c r="A15" s="7" t="s">
        <v>11</v>
      </c>
      <c r="B15" s="7" t="n">
        <v>3</v>
      </c>
      <c r="C15" s="7" t="n">
        <v>3</v>
      </c>
      <c r="D15" s="7" t="n">
        <f aca="false">B15+C15</f>
        <v>6</v>
      </c>
    </row>
    <row r="16" customFormat="false" ht="15" hidden="false" customHeight="false" outlineLevel="0" collapsed="false">
      <c r="A16" s="8" t="s">
        <v>7</v>
      </c>
      <c r="B16" s="8" t="n">
        <f aca="false">SUM(B12:B15)</f>
        <v>9</v>
      </c>
      <c r="C16" s="8" t="n">
        <f aca="false">SUM(C12:C15)</f>
        <v>8</v>
      </c>
      <c r="D16" s="8" t="n">
        <f aca="false">SUM(D12:D15)</f>
        <v>17</v>
      </c>
    </row>
    <row r="18" customFormat="false" ht="15" hidden="false" customHeight="false" outlineLevel="0" collapsed="false">
      <c r="A18" s="9" t="s">
        <v>12</v>
      </c>
      <c r="B18" s="9"/>
      <c r="C18" s="9"/>
      <c r="D18" s="9"/>
      <c r="E18" s="9"/>
    </row>
    <row r="19" customFormat="false" ht="15" hidden="false" customHeight="false" outlineLevel="0" collapsed="false">
      <c r="A19" s="10" t="s">
        <v>13</v>
      </c>
      <c r="B19" s="10"/>
      <c r="C19" s="10"/>
      <c r="D19" s="10"/>
      <c r="E19" s="10"/>
    </row>
    <row r="20" customFormat="false" ht="15" hidden="false" customHeight="false" outlineLevel="0" collapsed="false">
      <c r="A20" s="10" t="s">
        <v>14</v>
      </c>
      <c r="B20" s="10"/>
      <c r="C20" s="10"/>
      <c r="D20" s="10"/>
      <c r="E20" s="10"/>
    </row>
    <row r="21" customFormat="false" ht="15" hidden="false" customHeight="false" outlineLevel="0" collapsed="false">
      <c r="A21" s="10" t="s">
        <v>15</v>
      </c>
      <c r="B21" s="10"/>
      <c r="C21" s="10"/>
      <c r="D21" s="10"/>
      <c r="E21" s="10"/>
    </row>
    <row r="22" customFormat="false" ht="15" hidden="false" customHeight="false" outlineLevel="0" collapsed="false">
      <c r="A22" s="10" t="s">
        <v>16</v>
      </c>
      <c r="B22" s="10"/>
      <c r="C22" s="10"/>
      <c r="D22" s="10"/>
      <c r="E22" s="10"/>
    </row>
    <row r="23" customFormat="false" ht="15" hidden="false" customHeight="false" outlineLevel="0" collapsed="false">
      <c r="A23" s="10" t="s">
        <v>17</v>
      </c>
      <c r="B23" s="10"/>
      <c r="C23" s="10"/>
      <c r="D23" s="10"/>
      <c r="E23" s="10"/>
    </row>
    <row r="24" customFormat="false" ht="15" hidden="false" customHeight="false" outlineLevel="0" collapsed="false">
      <c r="A24" s="10" t="s">
        <v>18</v>
      </c>
      <c r="B24" s="10"/>
      <c r="C24" s="10"/>
      <c r="D24" s="10"/>
      <c r="E24" s="10"/>
    </row>
    <row r="25" customFormat="false" ht="15" hidden="false" customHeight="false" outlineLevel="0" collapsed="false">
      <c r="A25" s="10" t="s">
        <v>19</v>
      </c>
      <c r="B25" s="10"/>
      <c r="C25" s="10"/>
      <c r="D25" s="10"/>
      <c r="E25" s="10"/>
    </row>
  </sheetData>
  <mergeCells count="12">
    <mergeCell ref="A1:E1"/>
    <mergeCell ref="A2:E2"/>
    <mergeCell ref="A4:E4"/>
    <mergeCell ref="A5:E8"/>
    <mergeCell ref="A18:E18"/>
    <mergeCell ref="A19:E19"/>
    <mergeCell ref="A20:E20"/>
    <mergeCell ref="A21:E21"/>
    <mergeCell ref="A22:E22"/>
    <mergeCell ref="A23:E23"/>
    <mergeCell ref="A24:E24"/>
    <mergeCell ref="A25:E2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8"/>
    <col collapsed="false" customWidth="true" hidden="false" outlineLevel="0" max="4" min="4" style="0" width="40"/>
    <col collapsed="false" customWidth="true" hidden="false" outlineLevel="0" max="6" min="5" style="0" width="45"/>
    <col collapsed="false" customWidth="true" hidden="false" outlineLevel="0" max="7" min="7" style="0" width="30"/>
    <col collapsed="false" customWidth="true" hidden="false" outlineLevel="0" max="8" min="8" style="0" width="14"/>
  </cols>
  <sheetData>
    <row r="1" customFormat="false" ht="34.5" hidden="false" customHeight="true" outlineLevel="0" collapsed="false">
      <c r="A1" s="11" t="s">
        <v>20</v>
      </c>
      <c r="B1" s="11"/>
      <c r="C1" s="11"/>
      <c r="D1" s="11"/>
      <c r="E1" s="11"/>
      <c r="F1" s="11"/>
      <c r="G1" s="11"/>
      <c r="H1" s="11"/>
    </row>
    <row r="2" customFormat="false" ht="19.5" hidden="false" customHeight="true" outlineLevel="0" collapsed="false">
      <c r="A2" s="2" t="s">
        <v>21</v>
      </c>
      <c r="B2" s="2"/>
      <c r="C2" s="2"/>
      <c r="D2" s="2"/>
      <c r="E2" s="2"/>
      <c r="F2" s="2"/>
      <c r="G2" s="2"/>
      <c r="H2" s="2"/>
    </row>
    <row r="4" customFormat="false" ht="24.75" hidden="false" customHeight="true" outlineLevel="0" collapsed="false">
      <c r="A4" s="12" t="s">
        <v>22</v>
      </c>
      <c r="B4" s="12" t="s">
        <v>23</v>
      </c>
      <c r="C4" s="12" t="s">
        <v>24</v>
      </c>
      <c r="D4" s="12" t="s">
        <v>25</v>
      </c>
      <c r="E4" s="12" t="s">
        <v>26</v>
      </c>
      <c r="F4" s="12" t="s">
        <v>27</v>
      </c>
      <c r="G4" s="12" t="s">
        <v>28</v>
      </c>
      <c r="H4" s="12" t="s">
        <v>29</v>
      </c>
    </row>
    <row r="5" customFormat="false" ht="90" hidden="false" customHeight="true" outlineLevel="0" collapsed="false">
      <c r="A5" s="13" t="n">
        <v>1</v>
      </c>
      <c r="B5" s="14" t="s">
        <v>30</v>
      </c>
      <c r="C5" s="13" t="s">
        <v>31</v>
      </c>
      <c r="D5" s="13" t="s">
        <v>32</v>
      </c>
      <c r="E5" s="13" t="s">
        <v>33</v>
      </c>
      <c r="F5" s="13" t="s">
        <v>34</v>
      </c>
      <c r="G5" s="13" t="s">
        <v>35</v>
      </c>
      <c r="H5" s="13" t="s">
        <v>36</v>
      </c>
    </row>
    <row r="6" customFormat="false" ht="90" hidden="false" customHeight="true" outlineLevel="0" collapsed="false">
      <c r="A6" s="13" t="n">
        <v>2</v>
      </c>
      <c r="B6" s="14" t="s">
        <v>30</v>
      </c>
      <c r="C6" s="13" t="s">
        <v>31</v>
      </c>
      <c r="D6" s="13" t="s">
        <v>37</v>
      </c>
      <c r="E6" s="13" t="s">
        <v>38</v>
      </c>
      <c r="F6" s="13" t="s">
        <v>39</v>
      </c>
      <c r="G6" s="13" t="s">
        <v>40</v>
      </c>
      <c r="H6" s="13" t="s">
        <v>36</v>
      </c>
    </row>
    <row r="7" customFormat="false" ht="90" hidden="false" customHeight="true" outlineLevel="0" collapsed="false">
      <c r="A7" s="15" t="n">
        <v>3</v>
      </c>
      <c r="B7" s="16" t="s">
        <v>41</v>
      </c>
      <c r="C7" s="15" t="s">
        <v>31</v>
      </c>
      <c r="D7" s="15" t="s">
        <v>42</v>
      </c>
      <c r="E7" s="15" t="s">
        <v>43</v>
      </c>
      <c r="F7" s="15" t="s">
        <v>44</v>
      </c>
      <c r="G7" s="15" t="s">
        <v>45</v>
      </c>
      <c r="H7" s="15" t="s">
        <v>46</v>
      </c>
    </row>
    <row r="8" customFormat="false" ht="90" hidden="false" customHeight="true" outlineLevel="0" collapsed="false">
      <c r="A8" s="15" t="n">
        <v>4</v>
      </c>
      <c r="B8" s="16" t="s">
        <v>41</v>
      </c>
      <c r="C8" s="15" t="s">
        <v>31</v>
      </c>
      <c r="D8" s="15" t="s">
        <v>47</v>
      </c>
      <c r="E8" s="15" t="s">
        <v>48</v>
      </c>
      <c r="F8" s="15" t="s">
        <v>49</v>
      </c>
      <c r="G8" s="15" t="s">
        <v>50</v>
      </c>
      <c r="H8" s="15" t="s">
        <v>46</v>
      </c>
    </row>
    <row r="9" customFormat="false" ht="90" hidden="false" customHeight="true" outlineLevel="0" collapsed="false">
      <c r="A9" s="17" t="n">
        <v>5</v>
      </c>
      <c r="B9" s="18" t="s">
        <v>51</v>
      </c>
      <c r="C9" s="17" t="s">
        <v>31</v>
      </c>
      <c r="D9" s="17" t="s">
        <v>52</v>
      </c>
      <c r="E9" s="17" t="s">
        <v>53</v>
      </c>
      <c r="F9" s="17" t="s">
        <v>54</v>
      </c>
      <c r="G9" s="17" t="s">
        <v>55</v>
      </c>
      <c r="H9" s="17" t="s">
        <v>46</v>
      </c>
    </row>
    <row r="10" customFormat="false" ht="90" hidden="false" customHeight="true" outlineLevel="0" collapsed="false">
      <c r="A10" s="17" t="n">
        <v>6</v>
      </c>
      <c r="B10" s="18" t="s">
        <v>51</v>
      </c>
      <c r="C10" s="17" t="s">
        <v>56</v>
      </c>
      <c r="D10" s="17" t="s">
        <v>57</v>
      </c>
      <c r="E10" s="17" t="s">
        <v>58</v>
      </c>
      <c r="F10" s="17" t="s">
        <v>59</v>
      </c>
      <c r="G10" s="17" t="s">
        <v>60</v>
      </c>
      <c r="H10" s="17" t="s">
        <v>61</v>
      </c>
    </row>
    <row r="11" customFormat="false" ht="90" hidden="false" customHeight="true" outlineLevel="0" collapsed="false">
      <c r="A11" s="19" t="n">
        <v>7</v>
      </c>
      <c r="B11" s="20" t="s">
        <v>62</v>
      </c>
      <c r="C11" s="19" t="s">
        <v>31</v>
      </c>
      <c r="D11" s="19" t="s">
        <v>63</v>
      </c>
      <c r="E11" s="19" t="s">
        <v>64</v>
      </c>
      <c r="F11" s="19" t="s">
        <v>65</v>
      </c>
      <c r="G11" s="19" t="s">
        <v>66</v>
      </c>
      <c r="H11" s="19" t="s">
        <v>67</v>
      </c>
    </row>
    <row r="12" customFormat="false" ht="90" hidden="false" customHeight="true" outlineLevel="0" collapsed="false">
      <c r="A12" s="19" t="n">
        <v>8</v>
      </c>
      <c r="B12" s="20" t="s">
        <v>62</v>
      </c>
      <c r="C12" s="19" t="s">
        <v>31</v>
      </c>
      <c r="D12" s="19" t="s">
        <v>68</v>
      </c>
      <c r="E12" s="19" t="s">
        <v>69</v>
      </c>
      <c r="F12" s="19" t="s">
        <v>70</v>
      </c>
      <c r="G12" s="19" t="s">
        <v>71</v>
      </c>
      <c r="H12" s="19" t="s">
        <v>67</v>
      </c>
    </row>
    <row r="13" customFormat="false" ht="90" hidden="false" customHeight="true" outlineLevel="0" collapsed="false">
      <c r="A13" s="19" t="n">
        <v>9</v>
      </c>
      <c r="B13" s="20" t="s">
        <v>62</v>
      </c>
      <c r="C13" s="19" t="s">
        <v>31</v>
      </c>
      <c r="D13" s="19" t="s">
        <v>72</v>
      </c>
      <c r="E13" s="19" t="s">
        <v>73</v>
      </c>
      <c r="F13" s="19" t="s">
        <v>74</v>
      </c>
      <c r="G13" s="19" t="s">
        <v>75</v>
      </c>
      <c r="H13" s="19" t="s">
        <v>67</v>
      </c>
    </row>
  </sheetData>
  <autoFilter ref="A4:H13"/>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18"/>
    <col collapsed="false" customWidth="true" hidden="false" outlineLevel="0" max="4" min="4" style="0" width="35"/>
    <col collapsed="false" customWidth="true" hidden="false" outlineLevel="0" max="5" min="5" style="0" width="55"/>
    <col collapsed="false" customWidth="true" hidden="false" outlineLevel="0" max="6" min="6" style="0" width="40"/>
    <col collapsed="false" customWidth="true" hidden="false" outlineLevel="0" max="7" min="7" style="0" width="14"/>
  </cols>
  <sheetData>
    <row r="1" customFormat="false" ht="34.5" hidden="false" customHeight="true" outlineLevel="0" collapsed="false">
      <c r="A1" s="11" t="s">
        <v>76</v>
      </c>
      <c r="B1" s="11"/>
      <c r="C1" s="11"/>
      <c r="D1" s="11"/>
      <c r="E1" s="11"/>
      <c r="F1" s="11"/>
      <c r="G1" s="11"/>
    </row>
    <row r="2" customFormat="false" ht="15" hidden="false" customHeight="false" outlineLevel="0" collapsed="false">
      <c r="A2" s="2" t="s">
        <v>77</v>
      </c>
      <c r="B2" s="2"/>
      <c r="C2" s="2"/>
      <c r="D2" s="2"/>
      <c r="E2" s="2"/>
      <c r="F2" s="2"/>
      <c r="G2" s="2"/>
    </row>
    <row r="4" customFormat="false" ht="26.85" hidden="false" customHeight="false" outlineLevel="0" collapsed="false">
      <c r="A4" s="12" t="s">
        <v>22</v>
      </c>
      <c r="B4" s="12" t="s">
        <v>23</v>
      </c>
      <c r="C4" s="12" t="s">
        <v>24</v>
      </c>
      <c r="D4" s="12" t="s">
        <v>78</v>
      </c>
      <c r="E4" s="12" t="s">
        <v>79</v>
      </c>
      <c r="F4" s="12" t="s">
        <v>80</v>
      </c>
      <c r="G4" s="12" t="s">
        <v>81</v>
      </c>
    </row>
    <row r="5" customFormat="false" ht="99.75" hidden="false" customHeight="true" outlineLevel="0" collapsed="false">
      <c r="A5" s="15" t="n">
        <v>1</v>
      </c>
      <c r="B5" s="16" t="s">
        <v>41</v>
      </c>
      <c r="C5" s="15" t="s">
        <v>56</v>
      </c>
      <c r="D5" s="15" t="s">
        <v>82</v>
      </c>
      <c r="E5" s="15" t="s">
        <v>83</v>
      </c>
      <c r="F5" s="15" t="s">
        <v>84</v>
      </c>
      <c r="G5" s="15" t="s">
        <v>85</v>
      </c>
    </row>
    <row r="6" customFormat="false" ht="99.75" hidden="false" customHeight="true" outlineLevel="0" collapsed="false">
      <c r="A6" s="15" t="n">
        <v>2</v>
      </c>
      <c r="B6" s="16" t="s">
        <v>41</v>
      </c>
      <c r="C6" s="15" t="s">
        <v>56</v>
      </c>
      <c r="D6" s="15" t="s">
        <v>86</v>
      </c>
      <c r="E6" s="15" t="s">
        <v>87</v>
      </c>
      <c r="F6" s="15" t="s">
        <v>88</v>
      </c>
      <c r="G6" s="15" t="s">
        <v>89</v>
      </c>
    </row>
    <row r="7" customFormat="false" ht="99.75" hidden="false" customHeight="true" outlineLevel="0" collapsed="false">
      <c r="A7" s="17" t="n">
        <v>3</v>
      </c>
      <c r="B7" s="18" t="s">
        <v>51</v>
      </c>
      <c r="C7" s="17" t="s">
        <v>56</v>
      </c>
      <c r="D7" s="17" t="s">
        <v>90</v>
      </c>
      <c r="E7" s="17" t="s">
        <v>91</v>
      </c>
      <c r="F7" s="17" t="s">
        <v>92</v>
      </c>
      <c r="G7" s="17" t="s">
        <v>93</v>
      </c>
    </row>
    <row r="8" customFormat="false" ht="99.75" hidden="false" customHeight="true" outlineLevel="0" collapsed="false">
      <c r="A8" s="17" t="n">
        <v>4</v>
      </c>
      <c r="B8" s="18" t="s">
        <v>51</v>
      </c>
      <c r="C8" s="17" t="s">
        <v>56</v>
      </c>
      <c r="D8" s="17" t="s">
        <v>94</v>
      </c>
      <c r="E8" s="17" t="s">
        <v>95</v>
      </c>
      <c r="F8" s="17" t="s">
        <v>96</v>
      </c>
      <c r="G8" s="17" t="s">
        <v>89</v>
      </c>
    </row>
    <row r="9" customFormat="false" ht="99.75" hidden="false" customHeight="true" outlineLevel="0" collapsed="false">
      <c r="A9" s="17" t="n">
        <v>5</v>
      </c>
      <c r="B9" s="18" t="s">
        <v>51</v>
      </c>
      <c r="C9" s="17" t="s">
        <v>56</v>
      </c>
      <c r="D9" s="17" t="s">
        <v>97</v>
      </c>
      <c r="E9" s="17" t="s">
        <v>98</v>
      </c>
      <c r="F9" s="17" t="s">
        <v>99</v>
      </c>
      <c r="G9" s="17" t="s">
        <v>89</v>
      </c>
    </row>
    <row r="10" customFormat="false" ht="99.75" hidden="false" customHeight="true" outlineLevel="0" collapsed="false">
      <c r="A10" s="19" t="n">
        <v>6</v>
      </c>
      <c r="B10" s="20" t="s">
        <v>62</v>
      </c>
      <c r="C10" s="19" t="s">
        <v>100</v>
      </c>
      <c r="D10" s="19" t="s">
        <v>101</v>
      </c>
      <c r="E10" s="19" t="s">
        <v>102</v>
      </c>
      <c r="F10" s="19" t="s">
        <v>103</v>
      </c>
      <c r="G10" s="19" t="s">
        <v>85</v>
      </c>
    </row>
    <row r="11" customFormat="false" ht="99.75" hidden="false" customHeight="true" outlineLevel="0" collapsed="false">
      <c r="A11" s="19" t="n">
        <v>7</v>
      </c>
      <c r="B11" s="20" t="s">
        <v>62</v>
      </c>
      <c r="C11" s="19" t="s">
        <v>56</v>
      </c>
      <c r="D11" s="19" t="s">
        <v>104</v>
      </c>
      <c r="E11" s="19" t="s">
        <v>105</v>
      </c>
      <c r="F11" s="19" t="s">
        <v>106</v>
      </c>
      <c r="G11" s="19" t="s">
        <v>93</v>
      </c>
    </row>
    <row r="12" customFormat="false" ht="99.75" hidden="false" customHeight="true" outlineLevel="0" collapsed="false">
      <c r="A12" s="19" t="n">
        <v>8</v>
      </c>
      <c r="B12" s="20" t="s">
        <v>62</v>
      </c>
      <c r="C12" s="19" t="s">
        <v>56</v>
      </c>
      <c r="D12" s="19" t="s">
        <v>107</v>
      </c>
      <c r="E12" s="19" t="s">
        <v>108</v>
      </c>
      <c r="F12" s="19" t="s">
        <v>109</v>
      </c>
      <c r="G12" s="19" t="s">
        <v>93</v>
      </c>
    </row>
  </sheetData>
  <autoFilter ref="A4:G12"/>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2026-04-08T14:34:23Z</dcterms:created>
  <dc:creator>openpyxl</dc:creator>
  <dc:description/>
  <dc:language>en-US</dc:language>
  <cp:lastModifiedBy/>
  <dcterms:modified xsi:type="dcterms:W3CDTF">2026-04-08T14:34:23Z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